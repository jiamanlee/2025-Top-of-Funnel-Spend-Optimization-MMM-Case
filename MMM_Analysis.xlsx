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manli/Desktop/Professional Services Analyst Case Study Materials/Submission/"/>
    </mc:Choice>
  </mc:AlternateContent>
  <xr:revisionPtr revIDLastSave="0" documentId="13_ncr:1_{D0454278-FC77-9C41-868E-31130803F01E}" xr6:coauthVersionLast="47" xr6:coauthVersionMax="47" xr10:uidLastSave="{00000000-0000-0000-0000-000000000000}"/>
  <bookViews>
    <workbookView xWindow="320" yWindow="500" windowWidth="24820" windowHeight="15520" firstSheet="2" activeTab="5" xr2:uid="{26CCA9F1-BF7B-E34E-87A6-B484CA05EF4B}"/>
  </bookViews>
  <sheets>
    <sheet name="Brand_ROI_Percentiles_x0009_" sheetId="2" r:id="rId1"/>
    <sheet name="Performance_Overview" sheetId="1" r:id="rId2"/>
    <sheet name="Combined_Channels" sheetId="3" r:id="rId3"/>
    <sheet name="Excluded_Channels" sheetId="5" r:id="rId4"/>
    <sheet name="Included_TOF_Channels" sheetId="6" r:id="rId5"/>
    <sheet name="GOOD_TOF_Channels" sheetId="7" r:id="rId6"/>
    <sheet name="WEAK_TOF_Channels" sheetId="8" r:id="rId7"/>
    <sheet name="TOF_Channels_WATCHLIST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6" l="1"/>
</calcChain>
</file>

<file path=xl/sharedStrings.xml><?xml version="1.0" encoding="utf-8"?>
<sst xmlns="http://schemas.openxmlformats.org/spreadsheetml/2006/main" count="261" uniqueCount="60">
  <si>
    <t>Channel</t>
  </si>
  <si>
    <t>Spend</t>
  </si>
  <si>
    <t>Predicted Revenue</t>
  </si>
  <si>
    <t>Predicted ROI</t>
  </si>
  <si>
    <t>Google Non-Brand Search</t>
  </si>
  <si>
    <t>Google Performance</t>
  </si>
  <si>
    <t>Amazon Dsp Prospecting</t>
  </si>
  <si>
    <t>Amazon Dsp Retargeting</t>
  </si>
  <si>
    <t>Amazon Sponsored Brand</t>
  </si>
  <si>
    <t>Amazon Sponsored Non-Brand</t>
  </si>
  <si>
    <t>Bing</t>
  </si>
  <si>
    <t>Facebook Advshopping</t>
  </si>
  <si>
    <t>Facebook Prospecting</t>
  </si>
  <si>
    <t>Facebook Retargeting</t>
  </si>
  <si>
    <t>Pinterest</t>
  </si>
  <si>
    <t>Snap</t>
  </si>
  <si>
    <t>TikTok</t>
  </si>
  <si>
    <t>Ttd Display</t>
  </si>
  <si>
    <t>Influencer Micro</t>
  </si>
  <si>
    <t>Influencer Macro</t>
  </si>
  <si>
    <t>Mean ROI</t>
  </si>
  <si>
    <t>Model Confidence</t>
  </si>
  <si>
    <t>5th Percentile</t>
  </si>
  <si>
    <t>95th Percentile</t>
  </si>
  <si>
    <t>Uncertainty Rate</t>
  </si>
  <si>
    <t>Adwords - Non-Brand</t>
  </si>
  <si>
    <t>Medium</t>
  </si>
  <si>
    <t>Amazon Sponsored - Brand</t>
  </si>
  <si>
    <t>Low</t>
  </si>
  <si>
    <t>Facebook - AdvShopping</t>
  </si>
  <si>
    <t>Amazon Sponsored - Non-Brand</t>
  </si>
  <si>
    <t>Facebook - Retargeting</t>
  </si>
  <si>
    <t>High</t>
  </si>
  <si>
    <t>TTD - Display</t>
  </si>
  <si>
    <t>Facebook - Prospecting</t>
  </si>
  <si>
    <t>Adwords - Performance</t>
  </si>
  <si>
    <t>Email Sends (Imputed Cost)</t>
  </si>
  <si>
    <t>Amazon DSP - Retargeting</t>
  </si>
  <si>
    <t>Amazon DSP - Prospecting</t>
  </si>
  <si>
    <t>Influencer - Micro</t>
  </si>
  <si>
    <t>Influencer - Macro</t>
  </si>
  <si>
    <t>Facebook - Promoting</t>
  </si>
  <si>
    <t>Channel_x</t>
  </si>
  <si>
    <t>Channel_y</t>
  </si>
  <si>
    <t>No</t>
  </si>
  <si>
    <t>Verdict</t>
  </si>
  <si>
    <t>GOOD</t>
  </si>
  <si>
    <t>WATCHLIST</t>
  </si>
  <si>
    <t>Reasoning</t>
  </si>
  <si>
    <t>All 4 metrics meet GOOD thresholds</t>
  </si>
  <si>
    <t>WEAK</t>
  </si>
  <si>
    <t>Uncertainty &gt; 1.5, Spend &lt; 5K, Revenue &lt; 50K</t>
  </si>
  <si>
    <t>ROI &amp; Spend ok, but Uncertainty &gt; 1.5</t>
  </si>
  <si>
    <t>ROI ok, Spend ≈ borderline, Uncertainty &gt; 1.5</t>
  </si>
  <si>
    <t>ROI &lt; 1.5, Uncertainty &gt; 1.5, Spend &lt; 5K, Revenue &lt; 50K</t>
  </si>
  <si>
    <t>ROI &lt; 3, Uncertainty &gt; 1.5, but Spend &amp; Revenue acceptable</t>
  </si>
  <si>
    <t>ROI &lt; 1.5, Revenue &lt; 50K</t>
  </si>
  <si>
    <t>Brand ROI Percentiles</t>
  </si>
  <si>
    <t>Average Predicted ROI</t>
  </si>
  <si>
    <t>Average Mean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</si>
</sst>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Helvetica Neue"/>
      <family val="2"/>
    </font>
    <font>
      <b/>
      <sz val="10"/>
      <color rgb="FFFEFFFE"/>
      <name val="Helvetica Neue"/>
      <family val="2"/>
    </font>
    <font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  <font>
      <sz val="14"/>
      <color rgb="FF000000"/>
      <name val="Montserrat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00A2FF"/>
        <bgColor rgb="FF00A2FF"/>
      </patternFill>
    </fill>
    <fill>
      <patternFill patternType="solid">
        <fgColor rgb="FFF7F7F6"/>
        <bgColor rgb="FFF7F7F6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AAAAA"/>
      </left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  <border>
      <left style="thin">
        <color rgb="FFC8C8C8"/>
      </left>
      <right style="thin">
        <color rgb="FFFEFFFE"/>
      </right>
      <top/>
      <bottom style="thin">
        <color rgb="FF89847F"/>
      </bottom>
      <diagonal/>
    </border>
    <border>
      <left/>
      <right style="thin">
        <color rgb="FFFEFFFE"/>
      </right>
      <top/>
      <bottom style="thin">
        <color rgb="FF89847F"/>
      </bottom>
      <diagonal/>
    </border>
    <border>
      <left/>
      <right style="thin">
        <color rgb="FFC8C8C8"/>
      </right>
      <top/>
      <bottom style="thin">
        <color rgb="FF89847F"/>
      </bottom>
      <diagonal/>
    </border>
    <border>
      <left style="thin">
        <color rgb="FFFEFFFE"/>
      </left>
      <right style="thin">
        <color rgb="FFC8C8C8"/>
      </right>
      <top/>
      <bottom style="thin">
        <color rgb="FF89847F"/>
      </bottom>
      <diagonal/>
    </border>
    <border>
      <left style="thin">
        <color rgb="FFC8C8C8"/>
      </left>
      <right style="thin">
        <color rgb="FFC8C8C8"/>
      </right>
      <top/>
      <bottom style="thin">
        <color rgb="FFC8C8C8"/>
      </bottom>
      <diagonal/>
    </border>
    <border>
      <left/>
      <right style="thin">
        <color rgb="FFC8C8C8"/>
      </right>
      <top/>
      <bottom style="thin">
        <color rgb="FFC8C8C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49" fontId="19" fillId="34" borderId="12" xfId="0" applyNumberFormat="1" applyFont="1" applyFill="1" applyBorder="1" applyAlignment="1">
      <alignment vertical="center" wrapText="1"/>
    </xf>
    <xf numFmtId="49" fontId="19" fillId="34" borderId="13" xfId="0" applyNumberFormat="1" applyFont="1" applyFill="1" applyBorder="1" applyAlignment="1">
      <alignment horizontal="center" vertical="center" wrapText="1"/>
    </xf>
    <xf numFmtId="49" fontId="19" fillId="34" borderId="14" xfId="0" applyNumberFormat="1" applyFont="1" applyFill="1" applyBorder="1" applyAlignment="1">
      <alignment horizontal="center" vertical="center" wrapText="1"/>
    </xf>
    <xf numFmtId="49" fontId="19" fillId="34" borderId="15" xfId="0" applyNumberFormat="1" applyFont="1" applyFill="1" applyBorder="1" applyAlignment="1">
      <alignment horizontal="center" vertical="center" wrapText="1"/>
    </xf>
    <xf numFmtId="49" fontId="20" fillId="33" borderId="16" xfId="0" applyNumberFormat="1" applyFont="1" applyFill="1" applyBorder="1" applyAlignment="1">
      <alignment vertical="center" wrapText="1"/>
    </xf>
    <xf numFmtId="164" fontId="20" fillId="33" borderId="17" xfId="0" applyNumberFormat="1" applyFont="1" applyFill="1" applyBorder="1" applyAlignment="1">
      <alignment vertical="center" wrapText="1"/>
    </xf>
    <xf numFmtId="49" fontId="20" fillId="33" borderId="17" xfId="0" applyNumberFormat="1" applyFont="1" applyFill="1" applyBorder="1" applyAlignment="1">
      <alignment horizontal="center" vertical="center" wrapText="1"/>
    </xf>
    <xf numFmtId="49" fontId="20" fillId="35" borderId="16" xfId="0" applyNumberFormat="1" applyFont="1" applyFill="1" applyBorder="1" applyAlignment="1">
      <alignment vertical="center" wrapText="1"/>
    </xf>
    <xf numFmtId="164" fontId="20" fillId="35" borderId="17" xfId="0" applyNumberFormat="1" applyFont="1" applyFill="1" applyBorder="1" applyAlignment="1">
      <alignment vertical="center" wrapText="1"/>
    </xf>
    <xf numFmtId="49" fontId="20" fillId="35" borderId="17" xfId="0" applyNumberFormat="1" applyFont="1" applyFill="1" applyBorder="1" applyAlignment="1">
      <alignment horizontal="center" vertical="center" wrapText="1"/>
    </xf>
    <xf numFmtId="0" fontId="21" fillId="0" borderId="0" xfId="0" applyFont="1"/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11" xfId="0" applyNumberFormat="1" applyFont="1" applyFill="1" applyBorder="1" applyAlignment="1">
      <alignment horizontal="center" vertical="center"/>
    </xf>
    <xf numFmtId="0" fontId="0" fillId="0" borderId="0" xfId="0" applyBorder="1"/>
    <xf numFmtId="3" fontId="22" fillId="0" borderId="0" xfId="0" applyNumberFormat="1" applyFont="1" applyBorder="1" applyAlignment="1">
      <alignment horizontal="left" vertical="center" wrapText="1" indent="1" readingOrder="1"/>
    </xf>
    <xf numFmtId="3" fontId="0" fillId="0" borderId="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ROI vs. Spend Quadrant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8065799144653E-2"/>
          <c:y val="7.7186220161358177E-2"/>
          <c:w val="0.89409405423584365"/>
          <c:h val="0.85955731013893932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6437820686503038E-2"/>
                  <c:y val="-4.4319679149767456E-2"/>
                </c:manualLayout>
              </c:layout>
              <c:tx>
                <c:rich>
                  <a:bodyPr/>
                  <a:lstStyle/>
                  <a:p>
                    <a:fld id="{3A0C73FB-4F8E-B946-A960-50A755C93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908-744C-BF4A-3AC04E770F9D}"/>
                </c:ext>
              </c:extLst>
            </c:dLbl>
            <c:dLbl>
              <c:idx val="1"/>
              <c:layout>
                <c:manualLayout>
                  <c:x val="-2.9044304155367277E-17"/>
                  <c:y val="-2.0993532228837215E-2"/>
                </c:manualLayout>
              </c:layout>
              <c:tx>
                <c:rich>
                  <a:bodyPr/>
                  <a:lstStyle/>
                  <a:p>
                    <a:fld id="{43FF08E1-1976-4B46-8017-E4BFEA86E5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908-744C-BF4A-3AC04E770F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86D092-B4FA-4E4E-8228-D64A457EAD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9754717318046"/>
                      <c:h val="7.594465646079424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08-744C-BF4A-3AC04E770F9D}"/>
                </c:ext>
              </c:extLst>
            </c:dLbl>
            <c:dLbl>
              <c:idx val="3"/>
              <c:layout>
                <c:manualLayout>
                  <c:x val="-6.3499166573438726E-3"/>
                  <c:y val="-2.775030768426778E-2"/>
                </c:manualLayout>
              </c:layout>
              <c:tx>
                <c:rich>
                  <a:bodyPr/>
                  <a:lstStyle/>
                  <a:p>
                    <a:fld id="{AAB196C4-73D8-AE44-8AAF-1A087ED01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908-744C-BF4A-3AC04E770F9D}"/>
                </c:ext>
              </c:extLst>
            </c:dLbl>
            <c:dLbl>
              <c:idx val="4"/>
              <c:layout>
                <c:manualLayout>
                  <c:x val="-5.7033110639743874E-2"/>
                  <c:y val="3.732183507348838E-2"/>
                </c:manualLayout>
              </c:layout>
              <c:tx>
                <c:rich>
                  <a:bodyPr/>
                  <a:lstStyle/>
                  <a:p>
                    <a:fld id="{D0254CFE-5818-884D-88EC-95949059E8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908-744C-BF4A-3AC04E770F9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6196BB-5DE5-DE41-BF17-3BED341FF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908-744C-BF4A-3AC04E770F9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89A5A9B-08D6-8649-AC3B-CB2BD6C71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908-744C-BF4A-3AC04E770F9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98C292D-305B-A94F-9C4D-B0693149B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908-744C-BF4A-3AC04E770F9D}"/>
                </c:ext>
              </c:extLst>
            </c:dLbl>
            <c:dLbl>
              <c:idx val="8"/>
              <c:layout>
                <c:manualLayout>
                  <c:x val="-1.5810859296548727E-3"/>
                  <c:y val="-2.7591890591273937E-2"/>
                </c:manualLayout>
              </c:layout>
              <c:tx>
                <c:rich>
                  <a:bodyPr/>
                  <a:lstStyle/>
                  <a:p>
                    <a:fld id="{8A714EB4-F071-4B4D-AE5C-3DA4FD5F5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908-744C-BF4A-3AC04E770F9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BD8458-1095-7647-BD16-216E7EAA4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908-744C-BF4A-3AC04E770F9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6E0DF92-8144-0342-B308-1426336FA7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908-744C-BF4A-3AC04E770F9D}"/>
                </c:ext>
              </c:extLst>
            </c:dLbl>
            <c:dLbl>
              <c:idx val="11"/>
              <c:layout>
                <c:manualLayout>
                  <c:x val="4.7554642905820836E-3"/>
                  <c:y val="6.9465196386861707E-3"/>
                </c:manualLayout>
              </c:layout>
              <c:tx>
                <c:rich>
                  <a:bodyPr/>
                  <a:lstStyle/>
                  <a:p>
                    <a:fld id="{55A6E7CB-624D-5546-9C23-90980AD419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908-744C-BF4A-3AC04E770F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Included_TOF_Channels!$H$2:$H$13</c:f>
              <c:numCache>
                <c:formatCode>General</c:formatCode>
                <c:ptCount val="12"/>
                <c:pt idx="0">
                  <c:v>14858.8</c:v>
                </c:pt>
                <c:pt idx="1">
                  <c:v>20432.990000000002</c:v>
                </c:pt>
                <c:pt idx="2">
                  <c:v>103452.55</c:v>
                </c:pt>
                <c:pt idx="3">
                  <c:v>4901.97</c:v>
                </c:pt>
                <c:pt idx="4">
                  <c:v>21692.82</c:v>
                </c:pt>
                <c:pt idx="5">
                  <c:v>39730.06</c:v>
                </c:pt>
                <c:pt idx="6">
                  <c:v>50287</c:v>
                </c:pt>
                <c:pt idx="7">
                  <c:v>85889</c:v>
                </c:pt>
                <c:pt idx="8">
                  <c:v>49756.24</c:v>
                </c:pt>
                <c:pt idx="9">
                  <c:v>5147.8100000000004</c:v>
                </c:pt>
                <c:pt idx="10">
                  <c:v>43577.8</c:v>
                </c:pt>
                <c:pt idx="11">
                  <c:v>7890.6</c:v>
                </c:pt>
              </c:numCache>
            </c:numRef>
          </c:xVal>
          <c:yVal>
            <c:numRef>
              <c:f>Included_TOF_Channels!$J$2:$J$13</c:f>
              <c:numCache>
                <c:formatCode>General</c:formatCode>
                <c:ptCount val="12"/>
                <c:pt idx="0">
                  <c:v>15.86</c:v>
                </c:pt>
                <c:pt idx="1">
                  <c:v>10.93</c:v>
                </c:pt>
                <c:pt idx="2">
                  <c:v>7.13</c:v>
                </c:pt>
                <c:pt idx="3">
                  <c:v>10.19</c:v>
                </c:pt>
                <c:pt idx="4">
                  <c:v>9.85</c:v>
                </c:pt>
                <c:pt idx="5">
                  <c:v>3.87</c:v>
                </c:pt>
                <c:pt idx="6">
                  <c:v>0.12</c:v>
                </c:pt>
                <c:pt idx="7">
                  <c:v>0.44</c:v>
                </c:pt>
                <c:pt idx="8">
                  <c:v>7.8</c:v>
                </c:pt>
                <c:pt idx="9">
                  <c:v>1.42</c:v>
                </c:pt>
                <c:pt idx="10">
                  <c:v>1.17</c:v>
                </c:pt>
                <c:pt idx="11">
                  <c:v>4.67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Included_TOF_Channels!$B$2:$B$13</c15:f>
                <c15:dlblRangeCache>
                  <c:ptCount val="12"/>
                  <c:pt idx="0">
                    <c:v>Adwords - Non-Brand</c:v>
                  </c:pt>
                  <c:pt idx="1">
                    <c:v>Amazon Sponsored - Brand</c:v>
                  </c:pt>
                  <c:pt idx="2">
                    <c:v>Amazon Sponsored - Non-Brand</c:v>
                  </c:pt>
                  <c:pt idx="3">
                    <c:v>Bing</c:v>
                  </c:pt>
                  <c:pt idx="4">
                    <c:v>Facebook - AdvShopping</c:v>
                  </c:pt>
                  <c:pt idx="5">
                    <c:v>Facebook - Prospecting</c:v>
                  </c:pt>
                  <c:pt idx="6">
                    <c:v>Influencer - Macro</c:v>
                  </c:pt>
                  <c:pt idx="7">
                    <c:v>Influencer - Micro</c:v>
                  </c:pt>
                  <c:pt idx="8">
                    <c:v>Pinterest</c:v>
                  </c:pt>
                  <c:pt idx="9">
                    <c:v>Snap</c:v>
                  </c:pt>
                  <c:pt idx="10">
                    <c:v>TikTok</c:v>
                  </c:pt>
                  <c:pt idx="11">
                    <c:v>TTD - Display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908-744C-BF4A-3AC04E770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206719"/>
        <c:axId val="1631122351"/>
      </c:scatterChart>
      <c:valAx>
        <c:axId val="110420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22351"/>
        <c:crosses val="autoZero"/>
        <c:crossBetween val="midCat"/>
      </c:valAx>
      <c:valAx>
        <c:axId val="163112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067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14</xdr:row>
      <xdr:rowOff>169332</xdr:rowOff>
    </xdr:from>
    <xdr:to>
      <xdr:col>7</xdr:col>
      <xdr:colOff>43132</xdr:colOff>
      <xdr:row>41</xdr:row>
      <xdr:rowOff>174763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41AB22-6954-EE6B-755C-8C20DEEEC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E5AA-D7C4-354C-9EEA-1C6B25B24AC3}">
  <dimension ref="A1:F20"/>
  <sheetViews>
    <sheetView workbookViewId="0">
      <selection activeCell="A2" sqref="A2"/>
    </sheetView>
  </sheetViews>
  <sheetFormatPr baseColWidth="10" defaultRowHeight="16" x14ac:dyDescent="0.2"/>
  <cols>
    <col min="1" max="1" width="22" customWidth="1"/>
    <col min="6" max="6" width="10.6640625" bestFit="1" customWidth="1"/>
  </cols>
  <sheetData>
    <row r="1" spans="1:6" x14ac:dyDescent="0.2">
      <c r="A1" s="12" t="s">
        <v>57</v>
      </c>
      <c r="B1" s="13"/>
      <c r="C1" s="13"/>
      <c r="D1" s="13"/>
      <c r="E1" s="13"/>
      <c r="F1" s="13"/>
    </row>
    <row r="2" spans="1:6" ht="28" x14ac:dyDescent="0.2">
      <c r="A2" s="1" t="s">
        <v>0</v>
      </c>
      <c r="B2" s="2" t="s">
        <v>20</v>
      </c>
      <c r="C2" s="2" t="s">
        <v>21</v>
      </c>
      <c r="D2" s="2" t="s">
        <v>22</v>
      </c>
      <c r="E2" s="3" t="s">
        <v>23</v>
      </c>
      <c r="F2" s="4" t="s">
        <v>24</v>
      </c>
    </row>
    <row r="3" spans="1:6" ht="28" x14ac:dyDescent="0.2">
      <c r="A3" s="5" t="s">
        <v>25</v>
      </c>
      <c r="B3" s="6">
        <v>14.955</v>
      </c>
      <c r="C3" s="7" t="s">
        <v>26</v>
      </c>
      <c r="D3" s="6">
        <v>11.257999999999999</v>
      </c>
      <c r="E3" s="6">
        <v>19.905000000000001</v>
      </c>
      <c r="F3" s="6">
        <v>0.57799999999999996</v>
      </c>
    </row>
    <row r="4" spans="1:6" ht="42" x14ac:dyDescent="0.2">
      <c r="A4" s="8" t="s">
        <v>27</v>
      </c>
      <c r="B4" s="9">
        <v>10.795</v>
      </c>
      <c r="C4" s="10" t="s">
        <v>26</v>
      </c>
      <c r="D4" s="9">
        <v>6.1929999999999996</v>
      </c>
      <c r="E4" s="9">
        <v>16.501000000000001</v>
      </c>
      <c r="F4" s="9">
        <v>0.95499999999999996</v>
      </c>
    </row>
    <row r="5" spans="1:6" x14ac:dyDescent="0.2">
      <c r="A5" s="5" t="s">
        <v>10</v>
      </c>
      <c r="B5" s="6">
        <v>9.6760000000000002</v>
      </c>
      <c r="C5" s="7" t="s">
        <v>28</v>
      </c>
      <c r="D5" s="6">
        <v>0.28999999999999998</v>
      </c>
      <c r="E5" s="6">
        <v>32.470999999999997</v>
      </c>
      <c r="F5" s="6">
        <v>3.3260000000000001</v>
      </c>
    </row>
    <row r="6" spans="1:6" ht="42" x14ac:dyDescent="0.2">
      <c r="A6" s="8" t="s">
        <v>29</v>
      </c>
      <c r="B6" s="9">
        <v>9.6219999999999999</v>
      </c>
      <c r="C6" s="10" t="s">
        <v>28</v>
      </c>
      <c r="D6" s="9">
        <v>2.855</v>
      </c>
      <c r="E6" s="9">
        <v>22.798999999999999</v>
      </c>
      <c r="F6" s="9">
        <v>2.073</v>
      </c>
    </row>
    <row r="7" spans="1:6" x14ac:dyDescent="0.2">
      <c r="A7" s="5" t="s">
        <v>14</v>
      </c>
      <c r="B7" s="6">
        <v>7.9480000000000004</v>
      </c>
      <c r="C7" s="7" t="s">
        <v>26</v>
      </c>
      <c r="D7" s="6">
        <v>4.8150000000000004</v>
      </c>
      <c r="E7" s="6">
        <v>11.116</v>
      </c>
      <c r="F7" s="6">
        <v>0.79300000000000004</v>
      </c>
    </row>
    <row r="8" spans="1:6" ht="42" x14ac:dyDescent="0.2">
      <c r="A8" s="8" t="s">
        <v>30</v>
      </c>
      <c r="B8" s="9">
        <v>7.3380000000000001</v>
      </c>
      <c r="C8" s="10" t="s">
        <v>26</v>
      </c>
      <c r="D8" s="9">
        <v>5.6689999999999996</v>
      </c>
      <c r="E8" s="9">
        <v>9.0670000000000002</v>
      </c>
      <c r="F8" s="9">
        <v>0.46300000000000002</v>
      </c>
    </row>
    <row r="9" spans="1:6" ht="28" x14ac:dyDescent="0.2">
      <c r="A9" s="5" t="s">
        <v>31</v>
      </c>
      <c r="B9" s="6">
        <v>4.7990000000000004</v>
      </c>
      <c r="C9" s="7" t="s">
        <v>32</v>
      </c>
      <c r="D9" s="6">
        <v>3.6190000000000002</v>
      </c>
      <c r="E9" s="6">
        <v>6.0979999999999999</v>
      </c>
      <c r="F9" s="6">
        <v>0.51700000000000002</v>
      </c>
    </row>
    <row r="10" spans="1:6" ht="28" x14ac:dyDescent="0.2">
      <c r="A10" s="8" t="s">
        <v>33</v>
      </c>
      <c r="B10" s="9">
        <v>4.476</v>
      </c>
      <c r="C10" s="10" t="s">
        <v>28</v>
      </c>
      <c r="D10" s="9">
        <v>0.253</v>
      </c>
      <c r="E10" s="9">
        <v>11.824</v>
      </c>
      <c r="F10" s="9">
        <v>2.585</v>
      </c>
    </row>
    <row r="11" spans="1:6" ht="28" x14ac:dyDescent="0.2">
      <c r="A11" s="5" t="s">
        <v>34</v>
      </c>
      <c r="B11" s="6">
        <v>3.6030000000000002</v>
      </c>
      <c r="C11" s="7" t="s">
        <v>32</v>
      </c>
      <c r="D11" s="6">
        <v>2.6680000000000001</v>
      </c>
      <c r="E11" s="6">
        <v>4.5389999999999997</v>
      </c>
      <c r="F11" s="6">
        <v>0.51900000000000002</v>
      </c>
    </row>
    <row r="12" spans="1:6" ht="28" x14ac:dyDescent="0.2">
      <c r="A12" s="8" t="s">
        <v>35</v>
      </c>
      <c r="B12" s="9">
        <v>3.2069999999999999</v>
      </c>
      <c r="C12" s="10" t="s">
        <v>26</v>
      </c>
      <c r="D12" s="9">
        <v>2.173</v>
      </c>
      <c r="E12" s="9">
        <v>4.3380000000000001</v>
      </c>
      <c r="F12" s="9">
        <v>0.67500000000000004</v>
      </c>
    </row>
    <row r="13" spans="1:6" ht="42" x14ac:dyDescent="0.2">
      <c r="A13" s="5" t="s">
        <v>36</v>
      </c>
      <c r="B13" s="6">
        <v>2.8580000000000001</v>
      </c>
      <c r="C13" s="7" t="s">
        <v>26</v>
      </c>
      <c r="D13" s="6">
        <v>1.736</v>
      </c>
      <c r="E13" s="6">
        <v>4.077</v>
      </c>
      <c r="F13" s="6">
        <v>0.81899999999999995</v>
      </c>
    </row>
    <row r="14" spans="1:6" ht="42" x14ac:dyDescent="0.2">
      <c r="A14" s="8" t="s">
        <v>37</v>
      </c>
      <c r="B14" s="9">
        <v>2.6019999999999999</v>
      </c>
      <c r="C14" s="10" t="s">
        <v>28</v>
      </c>
      <c r="D14" s="9">
        <v>0.16200000000000001</v>
      </c>
      <c r="E14" s="9">
        <v>6.7880000000000003</v>
      </c>
      <c r="F14" s="9">
        <v>2.5459999999999998</v>
      </c>
    </row>
    <row r="15" spans="1:6" ht="42" x14ac:dyDescent="0.2">
      <c r="A15" s="5" t="s">
        <v>38</v>
      </c>
      <c r="B15" s="6">
        <v>1.843</v>
      </c>
      <c r="C15" s="7" t="s">
        <v>28</v>
      </c>
      <c r="D15" s="6">
        <v>9.9000000000000005E-2</v>
      </c>
      <c r="E15" s="6">
        <v>5.0659999999999998</v>
      </c>
      <c r="F15" s="6">
        <v>2.6949999999999998</v>
      </c>
    </row>
    <row r="16" spans="1:6" x14ac:dyDescent="0.2">
      <c r="A16" s="8" t="s">
        <v>15</v>
      </c>
      <c r="B16" s="9">
        <v>1.246</v>
      </c>
      <c r="C16" s="10" t="s">
        <v>28</v>
      </c>
      <c r="D16" s="9">
        <v>4.9000000000000002E-2</v>
      </c>
      <c r="E16" s="9">
        <v>4.5289999999999999</v>
      </c>
      <c r="F16" s="9">
        <v>3.5950000000000002</v>
      </c>
    </row>
    <row r="17" spans="1:6" x14ac:dyDescent="0.2">
      <c r="A17" s="5" t="s">
        <v>16</v>
      </c>
      <c r="B17" s="6">
        <v>1.1359999999999999</v>
      </c>
      <c r="C17" s="7" t="s">
        <v>28</v>
      </c>
      <c r="D17" s="6">
        <v>4.9000000000000002E-2</v>
      </c>
      <c r="E17" s="6">
        <v>2.5339999999999998</v>
      </c>
      <c r="F17" s="6">
        <v>2.1890000000000001</v>
      </c>
    </row>
    <row r="18" spans="1:6" ht="28" x14ac:dyDescent="0.2">
      <c r="A18" s="8" t="s">
        <v>39</v>
      </c>
      <c r="B18" s="9">
        <v>0.433</v>
      </c>
      <c r="C18" s="10" t="s">
        <v>26</v>
      </c>
      <c r="D18" s="9">
        <v>0.11600000000000001</v>
      </c>
      <c r="E18" s="9">
        <v>0.69799999999999995</v>
      </c>
      <c r="F18" s="9">
        <v>1.343</v>
      </c>
    </row>
    <row r="19" spans="1:6" ht="28" x14ac:dyDescent="0.2">
      <c r="A19" s="5" t="s">
        <v>40</v>
      </c>
      <c r="B19" s="6">
        <v>0.115</v>
      </c>
      <c r="C19" s="7" t="s">
        <v>26</v>
      </c>
      <c r="D19" s="6">
        <v>0.01</v>
      </c>
      <c r="E19" s="6">
        <v>0.312</v>
      </c>
      <c r="F19" s="6">
        <v>2.629</v>
      </c>
    </row>
    <row r="20" spans="1:6" ht="28" x14ac:dyDescent="0.2">
      <c r="A20" s="8" t="s">
        <v>41</v>
      </c>
      <c r="B20" s="9">
        <v>5.8999999999999997E-2</v>
      </c>
      <c r="C20" s="10" t="s">
        <v>32</v>
      </c>
      <c r="D20" s="9">
        <v>4.0000000000000001E-3</v>
      </c>
      <c r="E20" s="9">
        <v>0.16500000000000001</v>
      </c>
      <c r="F20" s="9">
        <v>2.7240000000000002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6E4E-0AEC-7E42-A46E-580C07870E8B}">
  <dimension ref="A1:D17"/>
  <sheetViews>
    <sheetView workbookViewId="0">
      <selection activeCell="F16" sqref="F16"/>
    </sheetView>
  </sheetViews>
  <sheetFormatPr baseColWidth="10" defaultRowHeight="16" x14ac:dyDescent="0.2"/>
  <cols>
    <col min="1" max="1" width="25.83203125" bestFit="1" customWidth="1"/>
    <col min="3" max="3" width="16.5" bestFit="1" customWidth="1"/>
    <col min="4" max="4" width="12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14858.8</v>
      </c>
      <c r="C2">
        <v>235550</v>
      </c>
      <c r="D2">
        <v>15.86</v>
      </c>
    </row>
    <row r="3" spans="1:4" x14ac:dyDescent="0.2">
      <c r="A3" t="s">
        <v>5</v>
      </c>
      <c r="B3">
        <v>100320.26</v>
      </c>
      <c r="C3">
        <v>314774</v>
      </c>
      <c r="D3">
        <v>3.14</v>
      </c>
    </row>
    <row r="4" spans="1:4" x14ac:dyDescent="0.2">
      <c r="A4" t="s">
        <v>6</v>
      </c>
      <c r="B4">
        <v>28179</v>
      </c>
      <c r="C4">
        <v>53786</v>
      </c>
      <c r="D4">
        <v>1.91</v>
      </c>
    </row>
    <row r="5" spans="1:4" x14ac:dyDescent="0.2">
      <c r="A5" t="s">
        <v>7</v>
      </c>
      <c r="B5">
        <v>36051</v>
      </c>
      <c r="C5">
        <v>96752</v>
      </c>
      <c r="D5">
        <v>2.69</v>
      </c>
    </row>
    <row r="6" spans="1:4" x14ac:dyDescent="0.2">
      <c r="A6" t="s">
        <v>8</v>
      </c>
      <c r="B6">
        <v>20432.990000000002</v>
      </c>
      <c r="C6">
        <v>223245</v>
      </c>
      <c r="D6">
        <v>10.93</v>
      </c>
    </row>
    <row r="7" spans="1:4" x14ac:dyDescent="0.2">
      <c r="A7" t="s">
        <v>9</v>
      </c>
      <c r="B7">
        <v>103452.55</v>
      </c>
      <c r="C7">
        <v>737076</v>
      </c>
      <c r="D7">
        <v>7.13</v>
      </c>
    </row>
    <row r="8" spans="1:4" x14ac:dyDescent="0.2">
      <c r="A8" t="s">
        <v>10</v>
      </c>
      <c r="B8">
        <v>4901.97</v>
      </c>
      <c r="C8">
        <v>49941</v>
      </c>
      <c r="D8">
        <v>10.19</v>
      </c>
    </row>
    <row r="9" spans="1:4" x14ac:dyDescent="0.2">
      <c r="A9" t="s">
        <v>11</v>
      </c>
      <c r="B9">
        <v>21692.82</v>
      </c>
      <c r="C9">
        <v>213564</v>
      </c>
      <c r="D9">
        <v>9.85</v>
      </c>
    </row>
    <row r="10" spans="1:4" x14ac:dyDescent="0.2">
      <c r="A10" t="s">
        <v>12</v>
      </c>
      <c r="B10">
        <v>39730.06</v>
      </c>
      <c r="C10">
        <v>153485</v>
      </c>
      <c r="D10">
        <v>3.87</v>
      </c>
    </row>
    <row r="11" spans="1:4" x14ac:dyDescent="0.2">
      <c r="A11" t="s">
        <v>13</v>
      </c>
      <c r="B11">
        <v>7166.7</v>
      </c>
      <c r="C11">
        <v>38439</v>
      </c>
      <c r="D11">
        <v>5.37</v>
      </c>
    </row>
    <row r="12" spans="1:4" x14ac:dyDescent="0.2">
      <c r="A12" t="s">
        <v>14</v>
      </c>
      <c r="B12">
        <v>49756.24</v>
      </c>
      <c r="C12">
        <v>387721</v>
      </c>
      <c r="D12">
        <v>7.8</v>
      </c>
    </row>
    <row r="13" spans="1:4" x14ac:dyDescent="0.2">
      <c r="A13" t="s">
        <v>15</v>
      </c>
      <c r="B13">
        <v>5147.8100000000004</v>
      </c>
      <c r="C13">
        <v>7294</v>
      </c>
      <c r="D13">
        <v>1.42</v>
      </c>
    </row>
    <row r="14" spans="1:4" x14ac:dyDescent="0.2">
      <c r="A14" t="s">
        <v>16</v>
      </c>
      <c r="B14">
        <v>43577.8</v>
      </c>
      <c r="C14">
        <v>50565</v>
      </c>
      <c r="D14">
        <v>1.17</v>
      </c>
    </row>
    <row r="15" spans="1:4" x14ac:dyDescent="0.2">
      <c r="A15" t="s">
        <v>17</v>
      </c>
      <c r="B15">
        <v>7890.6</v>
      </c>
      <c r="C15">
        <v>36802</v>
      </c>
      <c r="D15">
        <v>4.67</v>
      </c>
    </row>
    <row r="16" spans="1:4" x14ac:dyDescent="0.2">
      <c r="A16" t="s">
        <v>18</v>
      </c>
      <c r="B16">
        <v>85889</v>
      </c>
      <c r="C16">
        <v>37064</v>
      </c>
      <c r="D16">
        <v>0.44</v>
      </c>
    </row>
    <row r="17" spans="1:4" x14ac:dyDescent="0.2">
      <c r="A17" t="s">
        <v>19</v>
      </c>
      <c r="B17">
        <v>50287</v>
      </c>
      <c r="C17">
        <v>5666</v>
      </c>
      <c r="D17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DC67-EBEB-3D4E-AF5C-1412F0F0D348}">
  <dimension ref="A1:K19"/>
  <sheetViews>
    <sheetView zoomScale="109" workbookViewId="0">
      <selection activeCell="J20" sqref="J20"/>
    </sheetView>
  </sheetViews>
  <sheetFormatPr baseColWidth="10" defaultRowHeight="16" x14ac:dyDescent="0.2"/>
  <cols>
    <col min="2" max="2" width="32.6640625" customWidth="1"/>
    <col min="4" max="4" width="16.33203125" bestFit="1" customWidth="1"/>
    <col min="5" max="5" width="12.5" bestFit="1" customWidth="1"/>
    <col min="6" max="6" width="13.5" bestFit="1" customWidth="1"/>
    <col min="7" max="7" width="14.83203125" bestFit="1" customWidth="1"/>
    <col min="8" max="8" width="27.6640625" bestFit="1" customWidth="1"/>
    <col min="10" max="10" width="16.6640625" bestFit="1" customWidth="1"/>
    <col min="11" max="11" width="12.6640625" bestFit="1" customWidth="1"/>
  </cols>
  <sheetData>
    <row r="1" spans="1:11" x14ac:dyDescent="0.2">
      <c r="A1" s="11" t="s">
        <v>44</v>
      </c>
      <c r="B1" s="11" t="s">
        <v>42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43</v>
      </c>
      <c r="I1" s="11" t="s">
        <v>1</v>
      </c>
      <c r="J1" s="11" t="s">
        <v>2</v>
      </c>
      <c r="K1" s="11" t="s">
        <v>3</v>
      </c>
    </row>
    <row r="2" spans="1:11" x14ac:dyDescent="0.2">
      <c r="A2" s="11">
        <v>0</v>
      </c>
      <c r="B2" s="11" t="s">
        <v>25</v>
      </c>
      <c r="C2" s="11">
        <v>14.955</v>
      </c>
      <c r="D2" s="11" t="s">
        <v>26</v>
      </c>
      <c r="E2" s="11">
        <v>11.257999999999999</v>
      </c>
      <c r="F2" s="11">
        <v>19.905000000000001</v>
      </c>
      <c r="G2" s="11">
        <v>0.57799999999999996</v>
      </c>
      <c r="H2" t="s">
        <v>4</v>
      </c>
      <c r="I2">
        <v>14858.8</v>
      </c>
      <c r="J2">
        <v>235550</v>
      </c>
      <c r="K2">
        <v>15.86</v>
      </c>
    </row>
    <row r="3" spans="1:11" x14ac:dyDescent="0.2">
      <c r="A3" s="11">
        <v>1</v>
      </c>
      <c r="B3" s="11" t="s">
        <v>27</v>
      </c>
      <c r="C3" s="11">
        <v>10.795</v>
      </c>
      <c r="D3" s="11" t="s">
        <v>26</v>
      </c>
      <c r="E3" s="11">
        <v>6.1929999999999996</v>
      </c>
      <c r="F3" s="11">
        <v>16.501000000000001</v>
      </c>
      <c r="G3" s="11">
        <v>0.95499999999999996</v>
      </c>
      <c r="H3" s="11" t="s">
        <v>8</v>
      </c>
      <c r="I3" s="11">
        <v>20432.990000000002</v>
      </c>
      <c r="J3" s="11">
        <v>223245</v>
      </c>
      <c r="K3" s="11">
        <v>10.93</v>
      </c>
    </row>
    <row r="4" spans="1:11" x14ac:dyDescent="0.2">
      <c r="A4" s="11">
        <v>2</v>
      </c>
      <c r="B4" s="11" t="s">
        <v>10</v>
      </c>
      <c r="C4" s="11">
        <v>9.6760000000000002</v>
      </c>
      <c r="D4" s="11" t="s">
        <v>28</v>
      </c>
      <c r="E4" s="11">
        <v>0.28999999999999998</v>
      </c>
      <c r="F4" s="11">
        <v>32.470999999999997</v>
      </c>
      <c r="G4" s="11">
        <v>3.3260000000000001</v>
      </c>
      <c r="H4" s="11" t="s">
        <v>10</v>
      </c>
      <c r="I4" s="11">
        <v>4901.97</v>
      </c>
      <c r="J4" s="11">
        <v>49941</v>
      </c>
      <c r="K4" s="11">
        <v>10.19</v>
      </c>
    </row>
    <row r="5" spans="1:11" x14ac:dyDescent="0.2">
      <c r="A5" s="11">
        <v>3</v>
      </c>
      <c r="B5" s="11" t="s">
        <v>29</v>
      </c>
      <c r="C5" s="11">
        <v>9.6219999999999999</v>
      </c>
      <c r="D5" s="11" t="s">
        <v>28</v>
      </c>
      <c r="E5" s="11">
        <v>2.855</v>
      </c>
      <c r="F5" s="11">
        <v>22.798999999999999</v>
      </c>
      <c r="G5" s="11">
        <v>2.073</v>
      </c>
      <c r="H5" s="11" t="s">
        <v>11</v>
      </c>
      <c r="I5" s="11">
        <v>21692.82</v>
      </c>
      <c r="J5" s="11">
        <v>213564</v>
      </c>
      <c r="K5" s="11">
        <v>9.85</v>
      </c>
    </row>
    <row r="6" spans="1:11" x14ac:dyDescent="0.2">
      <c r="A6" s="11">
        <v>4</v>
      </c>
      <c r="B6" s="11" t="s">
        <v>14</v>
      </c>
      <c r="C6" s="11">
        <v>7.9480000000000004</v>
      </c>
      <c r="D6" s="11" t="s">
        <v>26</v>
      </c>
      <c r="E6" s="11">
        <v>4.8150000000000004</v>
      </c>
      <c r="F6" s="11">
        <v>11.116</v>
      </c>
      <c r="G6" s="11">
        <v>0.79300000000000004</v>
      </c>
      <c r="H6" s="11" t="s">
        <v>14</v>
      </c>
      <c r="I6" s="11">
        <v>49756.24</v>
      </c>
      <c r="J6" s="11">
        <v>387721</v>
      </c>
      <c r="K6" s="11">
        <v>7.8</v>
      </c>
    </row>
    <row r="7" spans="1:11" x14ac:dyDescent="0.2">
      <c r="A7" s="11">
        <v>5</v>
      </c>
      <c r="B7" s="11" t="s">
        <v>30</v>
      </c>
      <c r="C7" s="11">
        <v>7.3380000000000001</v>
      </c>
      <c r="D7" s="11" t="s">
        <v>26</v>
      </c>
      <c r="E7" s="11">
        <v>5.6689999999999996</v>
      </c>
      <c r="F7" s="11">
        <v>9.0670000000000002</v>
      </c>
      <c r="G7" s="11">
        <v>0.46300000000000002</v>
      </c>
      <c r="H7" s="11" t="s">
        <v>9</v>
      </c>
      <c r="I7" s="11">
        <v>103452.55</v>
      </c>
      <c r="J7" s="11">
        <v>737076</v>
      </c>
      <c r="K7" s="11">
        <v>7.13</v>
      </c>
    </row>
    <row r="8" spans="1:11" x14ac:dyDescent="0.2">
      <c r="A8" s="11">
        <v>6</v>
      </c>
      <c r="B8" s="11" t="s">
        <v>31</v>
      </c>
      <c r="C8" s="11">
        <v>4.7990000000000004</v>
      </c>
      <c r="D8" s="11" t="s">
        <v>32</v>
      </c>
      <c r="E8" s="11">
        <v>3.6190000000000002</v>
      </c>
      <c r="F8" s="11">
        <v>6.0979999999999999</v>
      </c>
      <c r="G8" s="11">
        <v>0.51700000000000002</v>
      </c>
      <c r="H8" s="11" t="s">
        <v>13</v>
      </c>
      <c r="I8" s="11">
        <v>7166.7</v>
      </c>
      <c r="J8" s="11">
        <v>38439</v>
      </c>
      <c r="K8" s="11">
        <v>5.37</v>
      </c>
    </row>
    <row r="9" spans="1:11" x14ac:dyDescent="0.2">
      <c r="A9" s="11">
        <v>7</v>
      </c>
      <c r="B9" s="11" t="s">
        <v>33</v>
      </c>
      <c r="C9" s="11">
        <v>4.476</v>
      </c>
      <c r="D9" s="11" t="s">
        <v>28</v>
      </c>
      <c r="E9" s="11">
        <v>0.253</v>
      </c>
      <c r="F9" s="11">
        <v>11.824</v>
      </c>
      <c r="G9" s="11">
        <v>2.585</v>
      </c>
      <c r="H9" s="11" t="s">
        <v>17</v>
      </c>
      <c r="I9" s="11">
        <v>7890.6</v>
      </c>
      <c r="J9" s="11">
        <v>36802</v>
      </c>
      <c r="K9" s="11">
        <v>4.67</v>
      </c>
    </row>
    <row r="10" spans="1:11" x14ac:dyDescent="0.2">
      <c r="A10" s="11">
        <v>8</v>
      </c>
      <c r="B10" s="11" t="s">
        <v>34</v>
      </c>
      <c r="C10" s="11">
        <v>3.6030000000000002</v>
      </c>
      <c r="D10" s="11" t="s">
        <v>32</v>
      </c>
      <c r="E10" s="11">
        <v>2.6680000000000001</v>
      </c>
      <c r="F10" s="11">
        <v>4.5389999999999997</v>
      </c>
      <c r="G10" s="11">
        <v>0.51900000000000002</v>
      </c>
      <c r="H10" s="11" t="s">
        <v>12</v>
      </c>
      <c r="I10" s="11">
        <v>39730.06</v>
      </c>
      <c r="J10" s="11">
        <v>153485</v>
      </c>
      <c r="K10" s="11">
        <v>3.87</v>
      </c>
    </row>
    <row r="11" spans="1:11" x14ac:dyDescent="0.2">
      <c r="A11" s="11">
        <v>9</v>
      </c>
      <c r="B11" s="11" t="s">
        <v>35</v>
      </c>
      <c r="C11" s="11">
        <v>3.2069999999999999</v>
      </c>
      <c r="D11" s="11" t="s">
        <v>26</v>
      </c>
      <c r="E11" s="11">
        <v>2.173</v>
      </c>
      <c r="F11" s="11">
        <v>4.3380000000000001</v>
      </c>
      <c r="G11" s="11">
        <v>0.67500000000000004</v>
      </c>
      <c r="H11" s="11" t="s">
        <v>5</v>
      </c>
      <c r="I11" s="11">
        <v>100320.26</v>
      </c>
      <c r="J11" s="11">
        <v>314774</v>
      </c>
      <c r="K11" s="11">
        <v>3.14</v>
      </c>
    </row>
    <row r="12" spans="1:11" x14ac:dyDescent="0.2">
      <c r="A12" s="11">
        <v>10</v>
      </c>
      <c r="B12" s="11" t="s">
        <v>36</v>
      </c>
      <c r="C12" s="11">
        <v>2.8580000000000001</v>
      </c>
      <c r="D12" s="11" t="s">
        <v>26</v>
      </c>
      <c r="E12" s="11">
        <v>1.736</v>
      </c>
      <c r="F12" s="11">
        <v>4.077</v>
      </c>
      <c r="G12" s="11">
        <v>0.81899999999999995</v>
      </c>
      <c r="H12" s="11"/>
      <c r="I12" s="11"/>
      <c r="J12" s="11"/>
      <c r="K12" s="11"/>
    </row>
    <row r="13" spans="1:11" x14ac:dyDescent="0.2">
      <c r="A13" s="11">
        <v>11</v>
      </c>
      <c r="B13" s="11" t="s">
        <v>37</v>
      </c>
      <c r="C13" s="11">
        <v>2.6019999999999999</v>
      </c>
      <c r="D13" s="11" t="s">
        <v>28</v>
      </c>
      <c r="E13" s="11">
        <v>0.16200000000000001</v>
      </c>
      <c r="F13" s="11">
        <v>6.7880000000000003</v>
      </c>
      <c r="G13" s="11">
        <v>2.5459999999999998</v>
      </c>
      <c r="H13" s="11" t="s">
        <v>7</v>
      </c>
      <c r="I13" s="11">
        <v>36051</v>
      </c>
      <c r="J13" s="11">
        <v>96752</v>
      </c>
      <c r="K13" s="11">
        <v>2.69</v>
      </c>
    </row>
    <row r="14" spans="1:11" x14ac:dyDescent="0.2">
      <c r="A14" s="11">
        <v>12</v>
      </c>
      <c r="B14" s="11" t="s">
        <v>38</v>
      </c>
      <c r="C14" s="11">
        <v>1.843</v>
      </c>
      <c r="D14" s="11" t="s">
        <v>28</v>
      </c>
      <c r="E14" s="11">
        <v>9.9000000000000005E-2</v>
      </c>
      <c r="F14" s="11">
        <v>5.0659999999999998</v>
      </c>
      <c r="G14" s="11">
        <v>2.6949999999999998</v>
      </c>
      <c r="H14" s="11" t="s">
        <v>6</v>
      </c>
      <c r="I14" s="11">
        <v>28179</v>
      </c>
      <c r="J14" s="11">
        <v>53786</v>
      </c>
      <c r="K14" s="11">
        <v>1.91</v>
      </c>
    </row>
    <row r="15" spans="1:11" x14ac:dyDescent="0.2">
      <c r="A15" s="11">
        <v>13</v>
      </c>
      <c r="B15" s="11" t="s">
        <v>15</v>
      </c>
      <c r="C15" s="11">
        <v>1.246</v>
      </c>
      <c r="D15" s="11" t="s">
        <v>28</v>
      </c>
      <c r="E15" s="11">
        <v>4.9000000000000002E-2</v>
      </c>
      <c r="F15" s="11">
        <v>4.5289999999999999</v>
      </c>
      <c r="G15" s="11">
        <v>3.5950000000000002</v>
      </c>
      <c r="H15" s="11" t="s">
        <v>15</v>
      </c>
      <c r="I15" s="11">
        <v>5147.8100000000004</v>
      </c>
      <c r="J15" s="11">
        <v>7294</v>
      </c>
      <c r="K15" s="11">
        <v>1.42</v>
      </c>
    </row>
    <row r="16" spans="1:11" x14ac:dyDescent="0.2">
      <c r="A16" s="11">
        <v>14</v>
      </c>
      <c r="B16" s="11" t="s">
        <v>16</v>
      </c>
      <c r="C16" s="11">
        <v>1.1359999999999999</v>
      </c>
      <c r="D16" s="11" t="s">
        <v>28</v>
      </c>
      <c r="E16" s="11">
        <v>4.9000000000000002E-2</v>
      </c>
      <c r="F16" s="11">
        <v>2.5339999999999998</v>
      </c>
      <c r="G16" s="11">
        <v>2.1890000000000001</v>
      </c>
      <c r="H16" s="11" t="s">
        <v>16</v>
      </c>
      <c r="I16" s="11">
        <v>43577.8</v>
      </c>
      <c r="J16" s="11">
        <v>50565</v>
      </c>
      <c r="K16" s="11">
        <v>1.17</v>
      </c>
    </row>
    <row r="17" spans="1:11" x14ac:dyDescent="0.2">
      <c r="A17" s="11">
        <v>15</v>
      </c>
      <c r="B17" s="11" t="s">
        <v>39</v>
      </c>
      <c r="C17" s="11">
        <v>0.433</v>
      </c>
      <c r="D17" s="11" t="s">
        <v>26</v>
      </c>
      <c r="E17" s="11">
        <v>0.11600000000000001</v>
      </c>
      <c r="F17" s="11">
        <v>0.69799999999999995</v>
      </c>
      <c r="G17" s="11">
        <v>1.343</v>
      </c>
      <c r="H17" s="11" t="s">
        <v>18</v>
      </c>
      <c r="I17" s="11">
        <v>85889</v>
      </c>
      <c r="J17" s="11">
        <v>37064</v>
      </c>
      <c r="K17" s="11">
        <v>0.44</v>
      </c>
    </row>
    <row r="18" spans="1:11" x14ac:dyDescent="0.2">
      <c r="A18" s="11">
        <v>16</v>
      </c>
      <c r="B18" s="11" t="s">
        <v>40</v>
      </c>
      <c r="C18" s="11">
        <v>0.115</v>
      </c>
      <c r="D18" s="11" t="s">
        <v>26</v>
      </c>
      <c r="E18" s="11">
        <v>0.01</v>
      </c>
      <c r="F18" s="11">
        <v>0.312</v>
      </c>
      <c r="G18" s="11">
        <v>2.629</v>
      </c>
      <c r="H18" s="11" t="s">
        <v>19</v>
      </c>
      <c r="I18" s="11">
        <v>50287</v>
      </c>
      <c r="J18" s="11">
        <v>5666</v>
      </c>
      <c r="K18" s="11">
        <v>0.12</v>
      </c>
    </row>
    <row r="19" spans="1:11" x14ac:dyDescent="0.2">
      <c r="A19" s="11">
        <v>17</v>
      </c>
      <c r="B19" s="11" t="s">
        <v>41</v>
      </c>
      <c r="C19" s="11">
        <v>5.8999999999999997E-2</v>
      </c>
      <c r="D19" s="11" t="s">
        <v>32</v>
      </c>
      <c r="E19" s="11">
        <v>4.0000000000000001E-3</v>
      </c>
      <c r="F19" s="11">
        <v>0.16500000000000001</v>
      </c>
      <c r="G19" s="11">
        <v>2.7240000000000002</v>
      </c>
      <c r="H19" s="11"/>
      <c r="I19" s="11"/>
      <c r="J19" s="11"/>
      <c r="K1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7FA3-3C0F-D043-AB23-C5C2B2877529}">
  <dimension ref="A1:J7"/>
  <sheetViews>
    <sheetView workbookViewId="0">
      <selection activeCell="C12" sqref="C12"/>
    </sheetView>
  </sheetViews>
  <sheetFormatPr baseColWidth="10" defaultRowHeight="16" x14ac:dyDescent="0.2"/>
  <sheetData>
    <row r="1" spans="1:10" x14ac:dyDescent="0.2">
      <c r="A1" t="s">
        <v>44</v>
      </c>
      <c r="B1" s="11" t="s">
        <v>0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1</v>
      </c>
      <c r="I1" s="11" t="s">
        <v>2</v>
      </c>
      <c r="J1" s="11" t="s">
        <v>3</v>
      </c>
    </row>
    <row r="2" spans="1:10" x14ac:dyDescent="0.2">
      <c r="A2">
        <v>0</v>
      </c>
      <c r="B2" s="11" t="s">
        <v>31</v>
      </c>
      <c r="C2" s="11">
        <v>4.7990000000000004</v>
      </c>
      <c r="D2" s="11" t="s">
        <v>32</v>
      </c>
      <c r="E2" s="11">
        <v>3.6190000000000002</v>
      </c>
      <c r="F2" s="11">
        <v>6.0979999999999999</v>
      </c>
      <c r="G2" s="11">
        <v>0.51700000000000002</v>
      </c>
      <c r="H2" s="11">
        <v>7166.7</v>
      </c>
      <c r="I2" s="11">
        <v>38439</v>
      </c>
      <c r="J2" s="11">
        <v>5.37</v>
      </c>
    </row>
    <row r="3" spans="1:10" x14ac:dyDescent="0.2">
      <c r="A3">
        <v>1</v>
      </c>
      <c r="B3" s="11" t="s">
        <v>35</v>
      </c>
      <c r="C3" s="11">
        <v>3.2069999999999999</v>
      </c>
      <c r="D3" s="11" t="s">
        <v>26</v>
      </c>
      <c r="E3" s="11">
        <v>2.173</v>
      </c>
      <c r="F3" s="11">
        <v>4.3380000000000001</v>
      </c>
      <c r="G3" s="11">
        <v>0.67500000000000004</v>
      </c>
      <c r="H3" s="11">
        <v>100320.26</v>
      </c>
      <c r="I3" s="11">
        <v>314774</v>
      </c>
      <c r="J3" s="11">
        <v>3.14</v>
      </c>
    </row>
    <row r="4" spans="1:10" x14ac:dyDescent="0.2">
      <c r="A4">
        <v>2</v>
      </c>
      <c r="B4" s="11" t="s">
        <v>36</v>
      </c>
      <c r="C4" s="11">
        <v>2.8580000000000001</v>
      </c>
      <c r="D4" s="11" t="s">
        <v>26</v>
      </c>
      <c r="E4" s="11">
        <v>1.736</v>
      </c>
      <c r="F4" s="11">
        <v>4.077</v>
      </c>
      <c r="G4" s="11">
        <v>0.81899999999999995</v>
      </c>
      <c r="H4" s="11"/>
      <c r="I4" s="11"/>
      <c r="J4" s="11"/>
    </row>
    <row r="5" spans="1:10" x14ac:dyDescent="0.2">
      <c r="A5">
        <v>3</v>
      </c>
      <c r="B5" s="11" t="s">
        <v>37</v>
      </c>
      <c r="C5" s="11">
        <v>2.6019999999999999</v>
      </c>
      <c r="D5" s="11" t="s">
        <v>28</v>
      </c>
      <c r="E5" s="11">
        <v>0.16200000000000001</v>
      </c>
      <c r="F5" s="11">
        <v>6.7880000000000003</v>
      </c>
      <c r="G5" s="11">
        <v>2.5459999999999998</v>
      </c>
      <c r="H5" s="11">
        <v>36051</v>
      </c>
      <c r="I5" s="11">
        <v>96752</v>
      </c>
      <c r="J5" s="11">
        <v>2.69</v>
      </c>
    </row>
    <row r="6" spans="1:10" x14ac:dyDescent="0.2">
      <c r="A6">
        <v>4</v>
      </c>
      <c r="B6" s="11" t="s">
        <v>38</v>
      </c>
      <c r="C6" s="11">
        <v>1.843</v>
      </c>
      <c r="D6" s="11" t="s">
        <v>28</v>
      </c>
      <c r="E6" s="11">
        <v>9.9000000000000005E-2</v>
      </c>
      <c r="F6" s="11">
        <v>5.0659999999999998</v>
      </c>
      <c r="G6" s="11">
        <v>2.6949999999999998</v>
      </c>
      <c r="H6" s="11">
        <v>28179</v>
      </c>
      <c r="I6" s="11">
        <v>53786</v>
      </c>
      <c r="J6" s="11">
        <v>1.91</v>
      </c>
    </row>
    <row r="7" spans="1:10" x14ac:dyDescent="0.2">
      <c r="A7">
        <v>5</v>
      </c>
      <c r="B7" s="11" t="s">
        <v>41</v>
      </c>
      <c r="C7" s="11">
        <v>5.8999999999999997E-2</v>
      </c>
      <c r="D7" s="11" t="s">
        <v>32</v>
      </c>
      <c r="E7" s="11">
        <v>4.0000000000000001E-3</v>
      </c>
      <c r="F7" s="11">
        <v>0.16500000000000001</v>
      </c>
      <c r="G7" s="11">
        <v>2.7240000000000002</v>
      </c>
      <c r="H7" s="11"/>
      <c r="I7" s="11"/>
      <c r="J7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0A31-3B46-CB4B-85D3-B60145D0FEE7}">
  <dimension ref="A1:L16"/>
  <sheetViews>
    <sheetView zoomScale="75" workbookViewId="0">
      <selection activeCell="I1" sqref="I1"/>
    </sheetView>
  </sheetViews>
  <sheetFormatPr baseColWidth="10" defaultRowHeight="16" x14ac:dyDescent="0.2"/>
  <cols>
    <col min="2" max="2" width="27" bestFit="1" customWidth="1"/>
    <col min="3" max="3" width="11.33203125" customWidth="1"/>
    <col min="4" max="4" width="18.33203125" customWidth="1"/>
    <col min="5" max="5" width="15" customWidth="1"/>
    <col min="6" max="6" width="16" customWidth="1"/>
    <col min="7" max="7" width="17.1640625" customWidth="1"/>
    <col min="9" max="9" width="18.83203125" customWidth="1"/>
    <col min="10" max="10" width="14.83203125" customWidth="1"/>
    <col min="12" max="12" width="12.1640625" customWidth="1"/>
  </cols>
  <sheetData>
    <row r="1" spans="1:12" x14ac:dyDescent="0.2">
      <c r="A1" t="s">
        <v>44</v>
      </c>
      <c r="B1" t="s">
        <v>0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1</v>
      </c>
      <c r="I1" t="s">
        <v>2</v>
      </c>
      <c r="J1" t="s">
        <v>3</v>
      </c>
      <c r="K1" t="s">
        <v>45</v>
      </c>
      <c r="L1" t="s">
        <v>48</v>
      </c>
    </row>
    <row r="2" spans="1:12" x14ac:dyDescent="0.2">
      <c r="A2">
        <v>0</v>
      </c>
      <c r="B2" t="s">
        <v>25</v>
      </c>
      <c r="C2">
        <v>14.955</v>
      </c>
      <c r="D2" t="s">
        <v>26</v>
      </c>
      <c r="E2">
        <v>11.257999999999999</v>
      </c>
      <c r="F2">
        <v>19.905000000000001</v>
      </c>
      <c r="G2">
        <v>0.57799999999999996</v>
      </c>
      <c r="H2">
        <v>14858.8</v>
      </c>
      <c r="I2">
        <v>235550</v>
      </c>
      <c r="J2">
        <v>15.86</v>
      </c>
      <c r="K2" t="s">
        <v>46</v>
      </c>
      <c r="L2" t="s">
        <v>49</v>
      </c>
    </row>
    <row r="3" spans="1:12" x14ac:dyDescent="0.2">
      <c r="A3">
        <v>1</v>
      </c>
      <c r="B3" t="s">
        <v>27</v>
      </c>
      <c r="C3">
        <v>10.795</v>
      </c>
      <c r="D3" t="s">
        <v>26</v>
      </c>
      <c r="E3">
        <v>6.1929999999999996</v>
      </c>
      <c r="F3">
        <v>16.501000000000001</v>
      </c>
      <c r="G3">
        <v>0.95499999999999996</v>
      </c>
      <c r="H3">
        <v>20432.990000000002</v>
      </c>
      <c r="I3">
        <v>223245</v>
      </c>
      <c r="J3">
        <v>10.93</v>
      </c>
      <c r="K3" t="s">
        <v>46</v>
      </c>
      <c r="L3" t="s">
        <v>49</v>
      </c>
    </row>
    <row r="4" spans="1:12" x14ac:dyDescent="0.2">
      <c r="A4">
        <v>2</v>
      </c>
      <c r="B4" t="s">
        <v>30</v>
      </c>
      <c r="C4">
        <v>7.3380000000000001</v>
      </c>
      <c r="D4" t="s">
        <v>26</v>
      </c>
      <c r="E4">
        <v>5.6689999999999996</v>
      </c>
      <c r="F4">
        <v>9.0670000000000002</v>
      </c>
      <c r="G4">
        <v>0.46300000000000002</v>
      </c>
      <c r="H4">
        <v>103452.55</v>
      </c>
      <c r="I4">
        <v>737076</v>
      </c>
      <c r="J4">
        <v>7.13</v>
      </c>
      <c r="K4" t="s">
        <v>46</v>
      </c>
      <c r="L4" t="s">
        <v>49</v>
      </c>
    </row>
    <row r="5" spans="1:12" x14ac:dyDescent="0.2">
      <c r="A5">
        <v>3</v>
      </c>
      <c r="B5" t="s">
        <v>10</v>
      </c>
      <c r="C5">
        <v>9.6760000000000002</v>
      </c>
      <c r="D5" t="s">
        <v>28</v>
      </c>
      <c r="E5">
        <v>0.28999999999999998</v>
      </c>
      <c r="F5">
        <v>32.470999999999997</v>
      </c>
      <c r="G5">
        <v>3.3260000000000001</v>
      </c>
      <c r="H5">
        <v>4901.97</v>
      </c>
      <c r="I5">
        <v>49941</v>
      </c>
      <c r="J5">
        <v>10.19</v>
      </c>
      <c r="K5" t="s">
        <v>50</v>
      </c>
      <c r="L5" t="s">
        <v>51</v>
      </c>
    </row>
    <row r="6" spans="1:12" x14ac:dyDescent="0.2">
      <c r="A6">
        <v>4</v>
      </c>
      <c r="B6" t="s">
        <v>29</v>
      </c>
      <c r="C6">
        <v>9.6219999999999999</v>
      </c>
      <c r="D6" t="s">
        <v>28</v>
      </c>
      <c r="E6">
        <v>2.855</v>
      </c>
      <c r="F6">
        <v>22.798999999999999</v>
      </c>
      <c r="G6">
        <v>2.073</v>
      </c>
      <c r="H6">
        <v>21692.82</v>
      </c>
      <c r="I6">
        <v>213564</v>
      </c>
      <c r="J6">
        <v>9.85</v>
      </c>
      <c r="K6" t="s">
        <v>47</v>
      </c>
      <c r="L6" t="s">
        <v>52</v>
      </c>
    </row>
    <row r="7" spans="1:12" x14ac:dyDescent="0.2">
      <c r="A7">
        <v>5</v>
      </c>
      <c r="B7" t="s">
        <v>34</v>
      </c>
      <c r="C7">
        <v>3.6030000000000002</v>
      </c>
      <c r="D7" t="s">
        <v>32</v>
      </c>
      <c r="E7">
        <v>2.6680000000000001</v>
      </c>
      <c r="F7">
        <v>4.5389999999999997</v>
      </c>
      <c r="G7">
        <v>0.51900000000000002</v>
      </c>
      <c r="H7">
        <v>39730.06</v>
      </c>
      <c r="I7">
        <v>153485</v>
      </c>
      <c r="J7">
        <v>3.87</v>
      </c>
      <c r="K7" t="s">
        <v>46</v>
      </c>
      <c r="L7" t="s">
        <v>49</v>
      </c>
    </row>
    <row r="8" spans="1:12" x14ac:dyDescent="0.2">
      <c r="A8">
        <v>6</v>
      </c>
      <c r="B8" t="s">
        <v>40</v>
      </c>
      <c r="C8">
        <v>0.115</v>
      </c>
      <c r="D8" t="s">
        <v>26</v>
      </c>
      <c r="E8">
        <v>0.01</v>
      </c>
      <c r="F8">
        <v>0.312</v>
      </c>
      <c r="G8">
        <v>2.629</v>
      </c>
      <c r="H8">
        <v>50287</v>
      </c>
      <c r="I8">
        <v>5666</v>
      </c>
      <c r="J8">
        <v>0.12</v>
      </c>
      <c r="K8" t="s">
        <v>50</v>
      </c>
      <c r="L8" t="s">
        <v>56</v>
      </c>
    </row>
    <row r="9" spans="1:12" x14ac:dyDescent="0.2">
      <c r="A9">
        <v>7</v>
      </c>
      <c r="B9" t="s">
        <v>39</v>
      </c>
      <c r="C9">
        <v>0.433</v>
      </c>
      <c r="D9" t="s">
        <v>26</v>
      </c>
      <c r="E9">
        <v>0.11600000000000001</v>
      </c>
      <c r="F9">
        <v>0.69799999999999995</v>
      </c>
      <c r="G9">
        <v>1.343</v>
      </c>
      <c r="H9">
        <v>85889</v>
      </c>
      <c r="I9">
        <v>37064</v>
      </c>
      <c r="J9">
        <v>0.44</v>
      </c>
      <c r="K9" t="s">
        <v>50</v>
      </c>
      <c r="L9" t="s">
        <v>56</v>
      </c>
    </row>
    <row r="10" spans="1:12" x14ac:dyDescent="0.2">
      <c r="A10">
        <v>8</v>
      </c>
      <c r="B10" t="s">
        <v>14</v>
      </c>
      <c r="C10">
        <v>7.9480000000000004</v>
      </c>
      <c r="D10" t="s">
        <v>26</v>
      </c>
      <c r="E10">
        <v>4.8150000000000004</v>
      </c>
      <c r="F10">
        <v>11.116</v>
      </c>
      <c r="G10">
        <v>0.79300000000000004</v>
      </c>
      <c r="H10">
        <v>49756.24</v>
      </c>
      <c r="I10">
        <v>387721</v>
      </c>
      <c r="J10">
        <v>7.8</v>
      </c>
      <c r="K10" t="s">
        <v>46</v>
      </c>
      <c r="L10" t="s">
        <v>49</v>
      </c>
    </row>
    <row r="11" spans="1:12" x14ac:dyDescent="0.2">
      <c r="A11">
        <v>9</v>
      </c>
      <c r="B11" t="s">
        <v>15</v>
      </c>
      <c r="C11">
        <v>1.246</v>
      </c>
      <c r="D11" t="s">
        <v>28</v>
      </c>
      <c r="E11">
        <v>4.9000000000000002E-2</v>
      </c>
      <c r="F11">
        <v>4.5289999999999999</v>
      </c>
      <c r="G11">
        <v>3.5950000000000002</v>
      </c>
      <c r="H11">
        <v>5147.8100000000004</v>
      </c>
      <c r="I11">
        <v>7294</v>
      </c>
      <c r="J11">
        <v>1.42</v>
      </c>
      <c r="K11" t="s">
        <v>50</v>
      </c>
      <c r="L11" t="s">
        <v>54</v>
      </c>
    </row>
    <row r="12" spans="1:12" x14ac:dyDescent="0.2">
      <c r="A12">
        <v>10</v>
      </c>
      <c r="B12" t="s">
        <v>16</v>
      </c>
      <c r="C12">
        <v>1.1359999999999999</v>
      </c>
      <c r="D12" t="s">
        <v>28</v>
      </c>
      <c r="E12">
        <v>4.9000000000000002E-2</v>
      </c>
      <c r="F12">
        <v>2.5339999999999998</v>
      </c>
      <c r="G12">
        <v>2.1890000000000001</v>
      </c>
      <c r="H12">
        <v>43577.8</v>
      </c>
      <c r="I12">
        <v>50565</v>
      </c>
      <c r="J12">
        <v>1.17</v>
      </c>
      <c r="K12" t="s">
        <v>47</v>
      </c>
      <c r="L12" t="s">
        <v>55</v>
      </c>
    </row>
    <row r="13" spans="1:12" x14ac:dyDescent="0.2">
      <c r="A13">
        <v>11</v>
      </c>
      <c r="B13" t="s">
        <v>33</v>
      </c>
      <c r="C13">
        <v>4.476</v>
      </c>
      <c r="D13" t="s">
        <v>28</v>
      </c>
      <c r="E13">
        <v>0.253</v>
      </c>
      <c r="F13">
        <v>11.824</v>
      </c>
      <c r="G13">
        <v>2.585</v>
      </c>
      <c r="H13">
        <v>7890.6</v>
      </c>
      <c r="I13">
        <v>36802</v>
      </c>
      <c r="J13">
        <v>4.67</v>
      </c>
      <c r="K13" t="s">
        <v>47</v>
      </c>
      <c r="L13" t="s">
        <v>53</v>
      </c>
    </row>
    <row r="16" spans="1:12" x14ac:dyDescent="0.2">
      <c r="I16">
        <f>SUM(I2:I13)</f>
        <v>2137973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4FB1-3813-7B48-8250-20AAAB1B18F2}">
  <dimension ref="A1:I9"/>
  <sheetViews>
    <sheetView tabSelected="1" workbookViewId="0">
      <selection activeCell="F20" sqref="F20"/>
    </sheetView>
  </sheetViews>
  <sheetFormatPr baseColWidth="10" defaultRowHeight="16" x14ac:dyDescent="0.2"/>
  <cols>
    <col min="1" max="1" width="19.5" customWidth="1"/>
    <col min="8" max="8" width="25.5" customWidth="1"/>
  </cols>
  <sheetData>
    <row r="1" spans="1:9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</v>
      </c>
      <c r="H1" t="s">
        <v>2</v>
      </c>
      <c r="I1" t="s">
        <v>3</v>
      </c>
    </row>
    <row r="2" spans="1:9" x14ac:dyDescent="0.2">
      <c r="A2" t="s">
        <v>25</v>
      </c>
      <c r="B2">
        <v>14.955</v>
      </c>
      <c r="C2" t="s">
        <v>26</v>
      </c>
      <c r="D2">
        <v>11.257999999999999</v>
      </c>
      <c r="E2">
        <v>19.905000000000001</v>
      </c>
      <c r="F2">
        <v>0.57799999999999996</v>
      </c>
      <c r="G2">
        <v>14858.8</v>
      </c>
      <c r="H2">
        <v>235550</v>
      </c>
      <c r="I2">
        <v>15.86</v>
      </c>
    </row>
    <row r="3" spans="1:9" x14ac:dyDescent="0.2">
      <c r="A3" t="s">
        <v>27</v>
      </c>
      <c r="B3">
        <v>10.795</v>
      </c>
      <c r="C3" t="s">
        <v>26</v>
      </c>
      <c r="D3">
        <v>6.1929999999999996</v>
      </c>
      <c r="E3">
        <v>16.501000000000001</v>
      </c>
      <c r="F3">
        <v>0.95499999999999996</v>
      </c>
      <c r="G3">
        <v>20432.990000000002</v>
      </c>
      <c r="H3">
        <v>223245</v>
      </c>
      <c r="I3">
        <v>10.93</v>
      </c>
    </row>
    <row r="4" spans="1:9" x14ac:dyDescent="0.2">
      <c r="A4" t="s">
        <v>30</v>
      </c>
      <c r="B4">
        <v>7.3380000000000001</v>
      </c>
      <c r="C4" t="s">
        <v>26</v>
      </c>
      <c r="D4">
        <v>5.6689999999999996</v>
      </c>
      <c r="E4">
        <v>9.0670000000000002</v>
      </c>
      <c r="F4">
        <v>0.46300000000000002</v>
      </c>
      <c r="G4">
        <v>103452.55</v>
      </c>
      <c r="H4">
        <v>737076</v>
      </c>
      <c r="I4">
        <v>7.13</v>
      </c>
    </row>
    <row r="5" spans="1:9" x14ac:dyDescent="0.2">
      <c r="A5" t="s">
        <v>34</v>
      </c>
      <c r="B5">
        <v>3.6030000000000002</v>
      </c>
      <c r="C5" t="s">
        <v>32</v>
      </c>
      <c r="D5">
        <v>2.6680000000000001</v>
      </c>
      <c r="E5">
        <v>4.5389999999999997</v>
      </c>
      <c r="F5">
        <v>0.51900000000000002</v>
      </c>
      <c r="G5">
        <v>39730.06</v>
      </c>
      <c r="H5">
        <v>153485</v>
      </c>
      <c r="I5">
        <v>3.87</v>
      </c>
    </row>
    <row r="6" spans="1:9" x14ac:dyDescent="0.2">
      <c r="A6" t="s">
        <v>14</v>
      </c>
      <c r="B6">
        <v>7.9480000000000004</v>
      </c>
      <c r="C6" t="s">
        <v>26</v>
      </c>
      <c r="D6">
        <v>4.8150000000000004</v>
      </c>
      <c r="E6">
        <v>11.116</v>
      </c>
      <c r="F6">
        <v>0.79300000000000004</v>
      </c>
      <c r="G6">
        <v>49756.24</v>
      </c>
      <c r="H6">
        <v>387721</v>
      </c>
      <c r="I6">
        <v>7.8</v>
      </c>
    </row>
    <row r="8" spans="1:9" x14ac:dyDescent="0.2">
      <c r="A8" t="s">
        <v>59</v>
      </c>
      <c r="B8">
        <v>8.9278000000000013</v>
      </c>
    </row>
    <row r="9" spans="1:9" x14ac:dyDescent="0.2">
      <c r="A9" t="s">
        <v>58</v>
      </c>
      <c r="B9">
        <v>9.1179999999999986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FBB0-A0F9-8C4A-85EC-950821B32230}">
  <dimension ref="A1:M19"/>
  <sheetViews>
    <sheetView workbookViewId="0">
      <selection activeCell="G19" sqref="G19"/>
    </sheetView>
  </sheetViews>
  <sheetFormatPr baseColWidth="10" defaultRowHeight="16" x14ac:dyDescent="0.2"/>
  <sheetData>
    <row r="1" spans="1:13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</v>
      </c>
      <c r="H1" t="s">
        <v>2</v>
      </c>
      <c r="I1" t="s">
        <v>3</v>
      </c>
    </row>
    <row r="2" spans="1:13" x14ac:dyDescent="0.2">
      <c r="A2" t="s">
        <v>10</v>
      </c>
      <c r="B2">
        <v>9.6760000000000002</v>
      </c>
      <c r="C2" t="s">
        <v>28</v>
      </c>
      <c r="D2">
        <v>0.28999999999999998</v>
      </c>
      <c r="E2">
        <v>32.470999999999997</v>
      </c>
      <c r="F2">
        <v>3.3260000000000001</v>
      </c>
      <c r="G2">
        <v>4901.97</v>
      </c>
      <c r="H2">
        <v>49941</v>
      </c>
      <c r="I2">
        <v>10.19</v>
      </c>
      <c r="L2" s="14"/>
      <c r="M2" s="14"/>
    </row>
    <row r="3" spans="1:13" x14ac:dyDescent="0.2">
      <c r="A3" t="s">
        <v>40</v>
      </c>
      <c r="B3">
        <v>0.115</v>
      </c>
      <c r="C3" t="s">
        <v>26</v>
      </c>
      <c r="D3">
        <v>0.01</v>
      </c>
      <c r="E3">
        <v>0.312</v>
      </c>
      <c r="F3">
        <v>2.629</v>
      </c>
      <c r="G3">
        <v>50287</v>
      </c>
      <c r="H3">
        <v>5666</v>
      </c>
      <c r="I3">
        <v>0.12</v>
      </c>
      <c r="L3" s="14"/>
      <c r="M3" s="14"/>
    </row>
    <row r="4" spans="1:13" x14ac:dyDescent="0.2">
      <c r="A4" t="s">
        <v>39</v>
      </c>
      <c r="B4">
        <v>0.433</v>
      </c>
      <c r="C4" t="s">
        <v>26</v>
      </c>
      <c r="D4">
        <v>0.11600000000000001</v>
      </c>
      <c r="E4">
        <v>0.69799999999999995</v>
      </c>
      <c r="F4">
        <v>1.343</v>
      </c>
      <c r="G4">
        <v>85889</v>
      </c>
      <c r="H4">
        <v>37064</v>
      </c>
      <c r="I4">
        <v>0.44</v>
      </c>
      <c r="L4" s="14"/>
      <c r="M4" s="14"/>
    </row>
    <row r="5" spans="1:13" ht="17" x14ac:dyDescent="0.2">
      <c r="A5" t="s">
        <v>15</v>
      </c>
      <c r="B5">
        <v>1.246</v>
      </c>
      <c r="C5" t="s">
        <v>28</v>
      </c>
      <c r="D5">
        <v>4.9000000000000002E-2</v>
      </c>
      <c r="E5">
        <v>4.5289999999999999</v>
      </c>
      <c r="F5">
        <v>3.5950000000000002</v>
      </c>
      <c r="G5">
        <v>5147.8100000000004</v>
      </c>
      <c r="H5">
        <v>7294</v>
      </c>
      <c r="I5">
        <v>1.42</v>
      </c>
      <c r="L5" s="15"/>
      <c r="M5" s="14"/>
    </row>
    <row r="6" spans="1:13" ht="17" x14ac:dyDescent="0.2">
      <c r="L6" s="15"/>
      <c r="M6" s="14"/>
    </row>
    <row r="7" spans="1:13" ht="17" x14ac:dyDescent="0.2">
      <c r="L7" s="15"/>
      <c r="M7" s="14"/>
    </row>
    <row r="8" spans="1:13" ht="17" x14ac:dyDescent="0.2">
      <c r="L8" s="15"/>
      <c r="M8" s="14"/>
    </row>
    <row r="9" spans="1:13" ht="17" x14ac:dyDescent="0.2">
      <c r="L9" s="15"/>
      <c r="M9" s="14"/>
    </row>
    <row r="10" spans="1:13" ht="17" x14ac:dyDescent="0.2">
      <c r="L10" s="15"/>
      <c r="M10" s="14"/>
    </row>
    <row r="11" spans="1:13" x14ac:dyDescent="0.2">
      <c r="L11" s="14"/>
      <c r="M11" s="14"/>
    </row>
    <row r="12" spans="1:13" x14ac:dyDescent="0.2">
      <c r="L12" s="16"/>
      <c r="M12" s="14"/>
    </row>
    <row r="13" spans="1:13" x14ac:dyDescent="0.2">
      <c r="L13" s="14"/>
      <c r="M13" s="14"/>
    </row>
    <row r="14" spans="1:13" x14ac:dyDescent="0.2">
      <c r="L14" s="14"/>
      <c r="M14" s="14"/>
    </row>
    <row r="15" spans="1:13" x14ac:dyDescent="0.2">
      <c r="L15" s="14"/>
      <c r="M15" s="14"/>
    </row>
    <row r="16" spans="1:13" x14ac:dyDescent="0.2">
      <c r="L16" s="14"/>
      <c r="M16" s="14"/>
    </row>
    <row r="17" spans="12:13" x14ac:dyDescent="0.2">
      <c r="L17" s="14"/>
      <c r="M17" s="14"/>
    </row>
    <row r="18" spans="12:13" x14ac:dyDescent="0.2">
      <c r="L18" s="14"/>
      <c r="M18" s="14"/>
    </row>
    <row r="19" spans="12:13" x14ac:dyDescent="0.2">
      <c r="L19" s="14"/>
      <c r="M19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16E3-7B46-F54F-8B26-B42A7336CB0A}">
  <dimension ref="A1:I4"/>
  <sheetViews>
    <sheetView workbookViewId="0">
      <selection activeCell="B2" sqref="A1:I4"/>
    </sheetView>
  </sheetViews>
  <sheetFormatPr baseColWidth="10" defaultRowHeight="16" x14ac:dyDescent="0.2"/>
  <sheetData>
    <row r="1" spans="1:9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1</v>
      </c>
      <c r="H1" t="s">
        <v>2</v>
      </c>
      <c r="I1" t="s">
        <v>3</v>
      </c>
    </row>
    <row r="2" spans="1:9" x14ac:dyDescent="0.2">
      <c r="A2" t="s">
        <v>29</v>
      </c>
      <c r="B2">
        <v>9.6219999999999999</v>
      </c>
      <c r="C2" t="s">
        <v>28</v>
      </c>
      <c r="D2">
        <v>2.855</v>
      </c>
      <c r="E2">
        <v>22.798999999999999</v>
      </c>
      <c r="F2">
        <v>2.073</v>
      </c>
      <c r="G2">
        <v>21692.82</v>
      </c>
      <c r="H2">
        <v>213564</v>
      </c>
      <c r="I2">
        <v>9.85</v>
      </c>
    </row>
    <row r="3" spans="1:9" x14ac:dyDescent="0.2">
      <c r="A3" t="s">
        <v>16</v>
      </c>
      <c r="B3">
        <v>1.1359999999999999</v>
      </c>
      <c r="C3" t="s">
        <v>28</v>
      </c>
      <c r="D3">
        <v>4.9000000000000002E-2</v>
      </c>
      <c r="E3">
        <v>2.5339999999999998</v>
      </c>
      <c r="F3">
        <v>2.1890000000000001</v>
      </c>
      <c r="G3">
        <v>43577.8</v>
      </c>
      <c r="H3">
        <v>50565</v>
      </c>
      <c r="I3">
        <v>1.17</v>
      </c>
    </row>
    <row r="4" spans="1:9" x14ac:dyDescent="0.2">
      <c r="A4" t="s">
        <v>33</v>
      </c>
      <c r="B4">
        <v>4.476</v>
      </c>
      <c r="C4" t="s">
        <v>28</v>
      </c>
      <c r="D4">
        <v>0.253</v>
      </c>
      <c r="E4">
        <v>11.824</v>
      </c>
      <c r="F4">
        <v>2.585</v>
      </c>
      <c r="G4">
        <v>7890.6</v>
      </c>
      <c r="H4">
        <v>36802</v>
      </c>
      <c r="I4">
        <v>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Brand_ROI_Percentiles	</vt:lpstr>
      <vt:lpstr>Performance_Overview</vt:lpstr>
      <vt:lpstr>Combined_Channels</vt:lpstr>
      <vt:lpstr>Excluded_Channels</vt:lpstr>
      <vt:lpstr>Included_TOF_Channels</vt:lpstr>
      <vt:lpstr>GOOD_TOF_Channels</vt:lpstr>
      <vt:lpstr>WEAK_TOF_Channels</vt:lpstr>
      <vt:lpstr>TOF_Channels_WATCHLIST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Jiaman Li</cp:lastModifiedBy>
  <dcterms:modified xsi:type="dcterms:W3CDTF">2025-07-09T17:58:26Z</dcterms:modified>
</cp:coreProperties>
</file>